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80372B76-D592-41D2-953E-E8AD9B5A7538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Ticket data" sheetId="1" r:id="rId1"/>
    <sheet name="Event summary " sheetId="2" r:id="rId2"/>
    <sheet name="Data Quality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B11" i="3" a="1"/>
  <c r="B11" i="3"/>
  <c r="B10" i="3"/>
  <c r="B9" i="3"/>
  <c r="B8" i="3"/>
  <c r="B7" i="3"/>
  <c r="B6" i="3"/>
  <c r="B5" i="3"/>
  <c r="B4" i="3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D4" i="2"/>
  <c r="C4" i="2"/>
  <c r="D3" i="2"/>
  <c r="C3" i="2"/>
  <c r="D2" i="2"/>
  <c r="C2" i="2"/>
  <c r="H7" i="1"/>
  <c r="E4" i="2" s="1"/>
  <c r="H6" i="1"/>
  <c r="H5" i="1"/>
  <c r="H4" i="1"/>
  <c r="H3" i="1"/>
  <c r="H2" i="1"/>
  <c r="E2" i="2" l="1"/>
  <c r="E3" i="2"/>
  <c r="F2" i="2"/>
  <c r="G2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4" i="2"/>
  <c r="G4" i="2"/>
  <c r="F3" i="2"/>
  <c r="G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<sst xmlns="http://schemas.openxmlformats.org/spreadsheetml/2006/main" count="240" uniqueCount="103">
  <si>
    <t>Transaction ID</t>
  </si>
  <si>
    <t>Purchase Date</t>
  </si>
  <si>
    <t>Event Name</t>
  </si>
  <si>
    <t>Event date</t>
  </si>
  <si>
    <t>Event categoroy</t>
  </si>
  <si>
    <t xml:space="preserve">Tickets sold </t>
  </si>
  <si>
    <t>Ticket Price</t>
  </si>
  <si>
    <t>Revenue</t>
  </si>
  <si>
    <t>Attendance</t>
  </si>
  <si>
    <t>Sales channel</t>
  </si>
  <si>
    <t>Data status</t>
  </si>
  <si>
    <t>TKT-1001</t>
  </si>
  <si>
    <t>Classic 1: American Tapestry</t>
  </si>
  <si>
    <t>Orchestra</t>
  </si>
  <si>
    <t>online</t>
  </si>
  <si>
    <t>valid</t>
  </si>
  <si>
    <t>TKT-1002</t>
  </si>
  <si>
    <t>10/1002026</t>
  </si>
  <si>
    <t>orchestra</t>
  </si>
  <si>
    <t xml:space="preserve">valid </t>
  </si>
  <si>
    <t>TKT-1003</t>
  </si>
  <si>
    <t>Box office</t>
  </si>
  <si>
    <t>TKT-1004</t>
  </si>
  <si>
    <t>GYSO 2026 November Concert</t>
  </si>
  <si>
    <t>GYSO</t>
  </si>
  <si>
    <t>TKT-1005</t>
  </si>
  <si>
    <t>11/08/2026 November Concert</t>
  </si>
  <si>
    <t>TKT-1006</t>
  </si>
  <si>
    <t>GYSO 2026 December Concert</t>
  </si>
  <si>
    <t>TKT-1007</t>
  </si>
  <si>
    <t xml:space="preserve">Holiday pops- Sensory friendly </t>
  </si>
  <si>
    <t>TKT-1008</t>
  </si>
  <si>
    <t>Holiday pops- Sensory friendly</t>
  </si>
  <si>
    <t>TKT-1009</t>
  </si>
  <si>
    <t>Holiday pops</t>
  </si>
  <si>
    <t>TKT-1010</t>
  </si>
  <si>
    <t>TKT-1011</t>
  </si>
  <si>
    <t>TKT-1012</t>
  </si>
  <si>
    <t>box office</t>
  </si>
  <si>
    <t>TKT-1013</t>
  </si>
  <si>
    <t>GYSO 2026 December Concert Series</t>
  </si>
  <si>
    <t>Online</t>
  </si>
  <si>
    <t>Valid</t>
  </si>
  <si>
    <t>TKT-1014</t>
  </si>
  <si>
    <t>Box Office</t>
  </si>
  <si>
    <t>TKT-1015</t>
  </si>
  <si>
    <t>59: A Very Good Year</t>
  </si>
  <si>
    <t>Jazz</t>
  </si>
  <si>
    <t>TKT-1016</t>
  </si>
  <si>
    <t>TKT-1017</t>
  </si>
  <si>
    <t>TKT-1018</t>
  </si>
  <si>
    <t>Brahms Requiem</t>
  </si>
  <si>
    <t>TKT-1019</t>
  </si>
  <si>
    <t>TKT-1020</t>
  </si>
  <si>
    <t>TKT-1021</t>
  </si>
  <si>
    <t>GYSO 2027 February Concert Series</t>
  </si>
  <si>
    <t>TKT-1022</t>
  </si>
  <si>
    <t>TKT-1023</t>
  </si>
  <si>
    <t>Rebels with a Cause</t>
  </si>
  <si>
    <t>TKT-1024</t>
  </si>
  <si>
    <t>TKT-1025</t>
  </si>
  <si>
    <t>TKT-1026</t>
  </si>
  <si>
    <t>Bell Bottom Big Band</t>
  </si>
  <si>
    <t>TKT-1027</t>
  </si>
  <si>
    <t>TKT-1028</t>
  </si>
  <si>
    <t>TKT-1029</t>
  </si>
  <si>
    <t>Jazz and Juleps</t>
  </si>
  <si>
    <t>Special Event</t>
  </si>
  <si>
    <t>TKT-1030</t>
  </si>
  <si>
    <t>TKT-1031</t>
  </si>
  <si>
    <t>TKT-1032</t>
  </si>
  <si>
    <t>GYSO 2027 May Concert Series</t>
  </si>
  <si>
    <t>TKT-1033</t>
  </si>
  <si>
    <t>TKT-1034</t>
  </si>
  <si>
    <t>TKT-1035</t>
  </si>
  <si>
    <t>TKT-1036</t>
  </si>
  <si>
    <t>[CENSORED]</t>
  </si>
  <si>
    <t>TKT-1037</t>
  </si>
  <si>
    <t>TKT-1038</t>
  </si>
  <si>
    <t>Event Date</t>
  </si>
  <si>
    <t>Tickets sold</t>
  </si>
  <si>
    <t>Ticket Revenue</t>
  </si>
  <si>
    <t>Attendance Rate</t>
  </si>
  <si>
    <t>Average Ticket Price</t>
  </si>
  <si>
    <t>GYSO 2026 November concert</t>
  </si>
  <si>
    <t>Rebels with a cause</t>
  </si>
  <si>
    <t>Bell bottom big band</t>
  </si>
  <si>
    <t>GYSO 2027 May concert series</t>
  </si>
  <si>
    <t>Data Quality check</t>
  </si>
  <si>
    <t>Quality heck</t>
  </si>
  <si>
    <t>Result</t>
  </si>
  <si>
    <t>Total Ticket Records</t>
  </si>
  <si>
    <t>Records Flagged Invalid</t>
  </si>
  <si>
    <t>Duplicate Transaction IDs</t>
  </si>
  <si>
    <t>Missing event name</t>
  </si>
  <si>
    <t>Missing event dates</t>
  </si>
  <si>
    <t>Missing ticket prices</t>
  </si>
  <si>
    <t>Invalid Ticket Quantities</t>
  </si>
  <si>
    <t>Attendance Errors</t>
  </si>
  <si>
    <t>GYSO Leadership Dashboard</t>
  </si>
  <si>
    <t>Total Tickets sold</t>
  </si>
  <si>
    <t>Total Attendance</t>
  </si>
  <si>
    <t>Total Ticket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</si>
</sst>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mm/dd/yyyy"/>
    <numFmt numFmtId="165" formatCode="\$0.00"/>
    <numFmt numFmtId="166" formatCode="&quot;$&quot;#,##0.00"/>
  </numFmts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/>
    <xf numFmtId="164" fontId="0" fillId="0" borderId="0" xfId="0" applyNumberFormat="1" applyAlignment="1"/>
    <xf numFmtId="8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opLeftCell="A4" workbookViewId="0">
      <selection activeCell="C22" sqref="C22"/>
    </sheetView>
  </sheetViews>
  <sheetFormatPr defaultRowHeight="15"/>
  <cols>
    <col min="2" max="2" width="11.42578125" bestFit="1" customWidth="1"/>
    <col min="3" max="3" width="10.42578125" bestFit="1" customWidth="1"/>
    <col min="4" max="4" width="11.42578125" bestFit="1" customWidth="1"/>
    <col min="5" max="5" width="10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46280</v>
      </c>
      <c r="C2" t="s">
        <v>12</v>
      </c>
      <c r="D2" s="1">
        <v>46305</v>
      </c>
      <c r="E2" t="s">
        <v>13</v>
      </c>
      <c r="F2">
        <v>2</v>
      </c>
      <c r="G2" s="9">
        <v>35</v>
      </c>
      <c r="H2">
        <f>F2*G2</f>
        <v>70</v>
      </c>
      <c r="I2">
        <v>2</v>
      </c>
      <c r="J2" t="s">
        <v>14</v>
      </c>
      <c r="K2" t="s">
        <v>15</v>
      </c>
    </row>
    <row r="3" spans="1:11">
      <c r="A3" t="s">
        <v>16</v>
      </c>
      <c r="B3" s="1">
        <v>46283</v>
      </c>
      <c r="C3" t="s">
        <v>12</v>
      </c>
      <c r="D3" t="s">
        <v>17</v>
      </c>
      <c r="E3" t="s">
        <v>18</v>
      </c>
      <c r="F3">
        <v>4</v>
      </c>
      <c r="G3" s="9">
        <v>25</v>
      </c>
      <c r="H3">
        <f>F3*G3</f>
        <v>100</v>
      </c>
      <c r="I3">
        <v>4</v>
      </c>
      <c r="J3" t="s">
        <v>14</v>
      </c>
      <c r="K3" t="s">
        <v>19</v>
      </c>
    </row>
    <row r="4" spans="1:11">
      <c r="A4" t="s">
        <v>20</v>
      </c>
      <c r="B4" s="1">
        <v>46305</v>
      </c>
      <c r="C4" t="s">
        <v>12</v>
      </c>
      <c r="D4" s="1">
        <v>46305</v>
      </c>
      <c r="E4" t="s">
        <v>13</v>
      </c>
      <c r="F4">
        <v>2</v>
      </c>
      <c r="G4" s="9">
        <v>49.5</v>
      </c>
      <c r="H4">
        <f>F4*G4</f>
        <v>99</v>
      </c>
      <c r="I4">
        <v>2</v>
      </c>
      <c r="J4" t="s">
        <v>21</v>
      </c>
      <c r="K4" t="s">
        <v>19</v>
      </c>
    </row>
    <row r="5" spans="1:11">
      <c r="A5" t="s">
        <v>22</v>
      </c>
      <c r="B5" s="1">
        <v>46315</v>
      </c>
      <c r="C5" t="s">
        <v>23</v>
      </c>
      <c r="D5" s="1">
        <v>46334</v>
      </c>
      <c r="E5" t="s">
        <v>24</v>
      </c>
      <c r="F5">
        <v>3</v>
      </c>
      <c r="G5" s="9">
        <v>10</v>
      </c>
      <c r="H5">
        <f>F5*G5</f>
        <v>30</v>
      </c>
      <c r="I5">
        <v>3</v>
      </c>
      <c r="J5" t="s">
        <v>14</v>
      </c>
      <c r="K5" t="s">
        <v>19</v>
      </c>
    </row>
    <row r="6" spans="1:11">
      <c r="A6" t="s">
        <v>25</v>
      </c>
      <c r="B6" t="s">
        <v>26</v>
      </c>
      <c r="C6" s="1" t="s">
        <v>23</v>
      </c>
      <c r="D6" s="1">
        <v>46334</v>
      </c>
      <c r="E6" s="2" t="s">
        <v>24</v>
      </c>
      <c r="F6">
        <v>2</v>
      </c>
      <c r="G6" s="9">
        <v>13</v>
      </c>
      <c r="H6">
        <f>F6*G6</f>
        <v>26</v>
      </c>
      <c r="I6">
        <v>2</v>
      </c>
      <c r="J6" t="s">
        <v>21</v>
      </c>
      <c r="K6" t="s">
        <v>19</v>
      </c>
    </row>
    <row r="7" spans="1:11">
      <c r="A7" t="s">
        <v>27</v>
      </c>
      <c r="B7" s="1">
        <v>46341</v>
      </c>
      <c r="C7" t="s">
        <v>28</v>
      </c>
      <c r="D7" s="1">
        <v>46369</v>
      </c>
      <c r="E7" t="s">
        <v>24</v>
      </c>
      <c r="F7">
        <v>4</v>
      </c>
      <c r="G7" s="9">
        <v>10</v>
      </c>
      <c r="H7">
        <f>F7*G7</f>
        <v>40</v>
      </c>
      <c r="I7">
        <v>4</v>
      </c>
      <c r="J7" t="s">
        <v>14</v>
      </c>
      <c r="K7" t="s">
        <v>19</v>
      </c>
    </row>
    <row r="8" spans="1:11">
      <c r="A8" t="s">
        <v>29</v>
      </c>
      <c r="B8" s="1">
        <v>46346</v>
      </c>
      <c r="C8" t="s">
        <v>30</v>
      </c>
      <c r="D8" s="1">
        <v>46361</v>
      </c>
      <c r="E8" t="s">
        <v>13</v>
      </c>
      <c r="F8">
        <v>3</v>
      </c>
      <c r="G8" s="9">
        <v>15</v>
      </c>
      <c r="H8">
        <f>F8*G8</f>
        <v>45</v>
      </c>
      <c r="I8">
        <v>3</v>
      </c>
      <c r="J8" t="s">
        <v>14</v>
      </c>
      <c r="K8" t="s">
        <v>19</v>
      </c>
    </row>
    <row r="9" spans="1:11">
      <c r="A9" t="s">
        <v>31</v>
      </c>
      <c r="B9" s="1">
        <v>46353</v>
      </c>
      <c r="C9" t="s">
        <v>32</v>
      </c>
      <c r="D9" s="1">
        <v>46361</v>
      </c>
      <c r="E9" t="s">
        <v>13</v>
      </c>
      <c r="F9">
        <v>2</v>
      </c>
      <c r="G9" s="9">
        <v>15</v>
      </c>
      <c r="H9">
        <f>F9*G9</f>
        <v>30</v>
      </c>
      <c r="I9">
        <v>2</v>
      </c>
      <c r="J9" t="s">
        <v>21</v>
      </c>
      <c r="K9" t="s">
        <v>15</v>
      </c>
    </row>
    <row r="10" spans="1:11">
      <c r="A10" t="s">
        <v>33</v>
      </c>
      <c r="B10" s="1">
        <v>46351</v>
      </c>
      <c r="C10" t="s">
        <v>34</v>
      </c>
      <c r="D10" s="1">
        <v>46361</v>
      </c>
      <c r="E10" t="s">
        <v>13</v>
      </c>
      <c r="F10">
        <v>4</v>
      </c>
      <c r="G10" s="9">
        <v>32</v>
      </c>
      <c r="H10">
        <f>F10*G10</f>
        <v>128</v>
      </c>
      <c r="I10">
        <v>4</v>
      </c>
      <c r="J10" t="s">
        <v>14</v>
      </c>
      <c r="K10" t="s">
        <v>19</v>
      </c>
    </row>
    <row r="11" spans="1:11">
      <c r="A11" t="s">
        <v>35</v>
      </c>
      <c r="B11" s="1">
        <v>46357</v>
      </c>
      <c r="C11" t="s">
        <v>34</v>
      </c>
      <c r="D11" s="1">
        <v>46361</v>
      </c>
      <c r="E11" t="s">
        <v>13</v>
      </c>
      <c r="F11">
        <v>2</v>
      </c>
      <c r="G11" s="9">
        <v>49.5</v>
      </c>
      <c r="H11">
        <f>F11*G11</f>
        <v>99</v>
      </c>
      <c r="I11">
        <v>2</v>
      </c>
      <c r="J11" t="s">
        <v>21</v>
      </c>
      <c r="K11" t="s">
        <v>19</v>
      </c>
    </row>
    <row r="12" spans="1:11">
      <c r="A12" t="s">
        <v>36</v>
      </c>
      <c r="B12" s="1">
        <v>46358</v>
      </c>
      <c r="C12" t="s">
        <v>34</v>
      </c>
      <c r="D12" s="1">
        <v>46362</v>
      </c>
      <c r="E12" t="s">
        <v>13</v>
      </c>
      <c r="F12">
        <v>3</v>
      </c>
      <c r="G12" s="9">
        <v>35</v>
      </c>
      <c r="H12">
        <f>F12*G12</f>
        <v>105</v>
      </c>
      <c r="I12">
        <v>3</v>
      </c>
      <c r="J12" t="s">
        <v>14</v>
      </c>
      <c r="K12" t="s">
        <v>19</v>
      </c>
    </row>
    <row r="13" spans="1:11">
      <c r="A13" t="s">
        <v>37</v>
      </c>
      <c r="B13" s="1">
        <v>46362</v>
      </c>
      <c r="C13" t="s">
        <v>34</v>
      </c>
      <c r="D13" s="1">
        <v>46362</v>
      </c>
      <c r="E13" t="s">
        <v>13</v>
      </c>
      <c r="F13">
        <v>2</v>
      </c>
      <c r="G13" s="9">
        <v>49.5</v>
      </c>
      <c r="H13">
        <f>F13*G13</f>
        <v>99</v>
      </c>
      <c r="I13">
        <v>2</v>
      </c>
      <c r="J13" t="s">
        <v>38</v>
      </c>
      <c r="K13" t="s">
        <v>19</v>
      </c>
    </row>
    <row r="14" spans="1:11">
      <c r="A14" s="4" t="s">
        <v>39</v>
      </c>
      <c r="B14" s="5">
        <v>46357</v>
      </c>
      <c r="C14" s="7" t="s">
        <v>40</v>
      </c>
      <c r="D14" s="5">
        <v>46369</v>
      </c>
      <c r="E14" s="4" t="s">
        <v>24</v>
      </c>
      <c r="F14" s="4">
        <v>4</v>
      </c>
      <c r="G14" s="6">
        <v>10</v>
      </c>
      <c r="H14">
        <f>F14*G14</f>
        <v>40</v>
      </c>
      <c r="I14" s="4">
        <v>4</v>
      </c>
      <c r="J14" s="7" t="s">
        <v>41</v>
      </c>
      <c r="K14" s="4" t="s">
        <v>42</v>
      </c>
    </row>
    <row r="15" spans="1:11">
      <c r="A15" s="4" t="s">
        <v>43</v>
      </c>
      <c r="B15" s="5">
        <v>46369</v>
      </c>
      <c r="C15" s="7" t="s">
        <v>40</v>
      </c>
      <c r="D15" s="5">
        <v>46369</v>
      </c>
      <c r="E15" s="4" t="s">
        <v>24</v>
      </c>
      <c r="F15" s="4">
        <v>2</v>
      </c>
      <c r="G15" s="6">
        <v>13</v>
      </c>
      <c r="H15">
        <f>F15*G15</f>
        <v>26</v>
      </c>
      <c r="I15" s="4">
        <v>2</v>
      </c>
      <c r="J15" s="7" t="s">
        <v>44</v>
      </c>
      <c r="K15" s="4" t="s">
        <v>42</v>
      </c>
    </row>
    <row r="16" spans="1:11">
      <c r="A16" s="4" t="s">
        <v>45</v>
      </c>
      <c r="B16" s="5">
        <v>46371</v>
      </c>
      <c r="C16" s="7" t="s">
        <v>46</v>
      </c>
      <c r="D16" s="5">
        <v>46409</v>
      </c>
      <c r="E16" s="4" t="s">
        <v>47</v>
      </c>
      <c r="F16" s="4">
        <v>2</v>
      </c>
      <c r="G16" s="6">
        <v>35</v>
      </c>
      <c r="H16">
        <f>F16*G16</f>
        <v>70</v>
      </c>
      <c r="I16" s="4">
        <v>2</v>
      </c>
      <c r="J16" s="7" t="s">
        <v>41</v>
      </c>
      <c r="K16" s="4" t="s">
        <v>42</v>
      </c>
    </row>
    <row r="17" spans="1:11">
      <c r="A17" s="4" t="s">
        <v>48</v>
      </c>
      <c r="B17" s="5">
        <v>46392</v>
      </c>
      <c r="C17" s="7" t="s">
        <v>46</v>
      </c>
      <c r="D17" s="5">
        <v>46409</v>
      </c>
      <c r="E17" s="4" t="s">
        <v>47</v>
      </c>
      <c r="F17" s="4">
        <v>4</v>
      </c>
      <c r="G17" s="6">
        <v>40</v>
      </c>
      <c r="H17">
        <f>F17*G17</f>
        <v>160</v>
      </c>
      <c r="I17" s="4">
        <v>4</v>
      </c>
      <c r="J17" s="7" t="s">
        <v>41</v>
      </c>
      <c r="K17" s="4" t="s">
        <v>42</v>
      </c>
    </row>
    <row r="18" spans="1:11">
      <c r="A18" s="4" t="s">
        <v>49</v>
      </c>
      <c r="B18" s="5">
        <v>46409</v>
      </c>
      <c r="C18" s="7" t="s">
        <v>46</v>
      </c>
      <c r="D18" s="5">
        <v>46409</v>
      </c>
      <c r="E18" s="4" t="s">
        <v>47</v>
      </c>
      <c r="F18" s="4">
        <v>2</v>
      </c>
      <c r="G18" s="6">
        <v>49.5</v>
      </c>
      <c r="H18">
        <f>F18*G18</f>
        <v>99</v>
      </c>
      <c r="I18" s="4">
        <v>2</v>
      </c>
      <c r="J18" s="7" t="s">
        <v>44</v>
      </c>
      <c r="K18" s="4" t="s">
        <v>42</v>
      </c>
    </row>
    <row r="19" spans="1:11">
      <c r="A19" s="4" t="s">
        <v>50</v>
      </c>
      <c r="B19" s="5">
        <v>46397</v>
      </c>
      <c r="C19" s="7" t="s">
        <v>51</v>
      </c>
      <c r="D19" s="5">
        <v>46424</v>
      </c>
      <c r="E19" s="4" t="s">
        <v>13</v>
      </c>
      <c r="F19" s="4">
        <v>3</v>
      </c>
      <c r="G19" s="6">
        <v>35</v>
      </c>
      <c r="H19">
        <f>F19*G19</f>
        <v>105</v>
      </c>
      <c r="I19" s="4">
        <v>3</v>
      </c>
      <c r="J19" s="7" t="s">
        <v>41</v>
      </c>
      <c r="K19" s="4" t="s">
        <v>42</v>
      </c>
    </row>
    <row r="20" spans="1:11">
      <c r="A20" s="4" t="s">
        <v>52</v>
      </c>
      <c r="B20" s="5">
        <v>46412</v>
      </c>
      <c r="C20" s="7" t="s">
        <v>51</v>
      </c>
      <c r="D20" s="5">
        <v>46424</v>
      </c>
      <c r="E20" s="4" t="s">
        <v>13</v>
      </c>
      <c r="F20" s="4">
        <v>4</v>
      </c>
      <c r="G20" s="6">
        <v>40</v>
      </c>
      <c r="H20">
        <f>F20*G20</f>
        <v>160</v>
      </c>
      <c r="I20" s="4">
        <v>3</v>
      </c>
      <c r="J20" s="7" t="s">
        <v>41</v>
      </c>
      <c r="K20" s="4" t="s">
        <v>42</v>
      </c>
    </row>
    <row r="21" spans="1:11">
      <c r="A21" s="4" t="s">
        <v>53</v>
      </c>
      <c r="B21" s="5">
        <v>46424</v>
      </c>
      <c r="C21" s="7" t="s">
        <v>51</v>
      </c>
      <c r="D21" s="5">
        <v>46424</v>
      </c>
      <c r="E21" s="4" t="s">
        <v>13</v>
      </c>
      <c r="F21" s="4">
        <v>2</v>
      </c>
      <c r="G21" s="6">
        <v>49.5</v>
      </c>
      <c r="H21">
        <f>F21*G21</f>
        <v>99</v>
      </c>
      <c r="I21" s="4">
        <v>2</v>
      </c>
      <c r="J21" s="7" t="s">
        <v>44</v>
      </c>
      <c r="K21" s="4" t="s">
        <v>42</v>
      </c>
    </row>
    <row r="22" spans="1:11">
      <c r="A22" s="4" t="s">
        <v>54</v>
      </c>
      <c r="B22" s="5">
        <v>46407</v>
      </c>
      <c r="C22" s="7" t="s">
        <v>55</v>
      </c>
      <c r="D22" s="5">
        <v>46425</v>
      </c>
      <c r="E22" s="4" t="s">
        <v>24</v>
      </c>
      <c r="F22" s="4">
        <v>4</v>
      </c>
      <c r="G22" s="6">
        <v>10</v>
      </c>
      <c r="H22">
        <f>F22*G22</f>
        <v>40</v>
      </c>
      <c r="I22" s="4">
        <v>4</v>
      </c>
      <c r="J22" s="7" t="s">
        <v>41</v>
      </c>
      <c r="K22" s="4" t="s">
        <v>42</v>
      </c>
    </row>
    <row r="23" spans="1:11">
      <c r="A23" s="4" t="s">
        <v>56</v>
      </c>
      <c r="B23" s="5">
        <v>46425</v>
      </c>
      <c r="C23" s="7" t="s">
        <v>55</v>
      </c>
      <c r="D23" s="5">
        <v>46425</v>
      </c>
      <c r="E23" s="4" t="s">
        <v>24</v>
      </c>
      <c r="F23" s="4">
        <v>3</v>
      </c>
      <c r="G23" s="6">
        <v>13</v>
      </c>
      <c r="H23">
        <f>F23*G23</f>
        <v>39</v>
      </c>
      <c r="I23" s="4">
        <v>3</v>
      </c>
      <c r="J23" s="7" t="s">
        <v>44</v>
      </c>
      <c r="K23" s="4" t="s">
        <v>42</v>
      </c>
    </row>
    <row r="24" spans="1:11">
      <c r="A24" s="4" t="s">
        <v>57</v>
      </c>
      <c r="B24" s="5">
        <v>46428</v>
      </c>
      <c r="C24" s="7" t="s">
        <v>58</v>
      </c>
      <c r="D24" s="5">
        <v>46452</v>
      </c>
      <c r="E24" s="4" t="s">
        <v>13</v>
      </c>
      <c r="F24" s="4">
        <v>2</v>
      </c>
      <c r="G24" s="6">
        <v>35</v>
      </c>
      <c r="H24">
        <f>F24*G24</f>
        <v>70</v>
      </c>
      <c r="I24" s="4">
        <v>2</v>
      </c>
      <c r="J24" s="7" t="s">
        <v>41</v>
      </c>
      <c r="K24" s="4" t="s">
        <v>42</v>
      </c>
    </row>
    <row r="25" spans="1:11">
      <c r="A25" s="4" t="s">
        <v>59</v>
      </c>
      <c r="B25" s="5">
        <v>46438</v>
      </c>
      <c r="C25" s="7" t="s">
        <v>58</v>
      </c>
      <c r="D25" s="5">
        <v>46452</v>
      </c>
      <c r="E25" s="4" t="s">
        <v>13</v>
      </c>
      <c r="F25" s="4">
        <v>4</v>
      </c>
      <c r="G25" s="6">
        <v>40</v>
      </c>
      <c r="H25">
        <f>F25*G25</f>
        <v>160</v>
      </c>
      <c r="I25" s="4">
        <v>4</v>
      </c>
      <c r="J25" s="7" t="s">
        <v>41</v>
      </c>
      <c r="K25" s="4" t="s">
        <v>42</v>
      </c>
    </row>
    <row r="26" spans="1:11">
      <c r="A26" s="4" t="s">
        <v>60</v>
      </c>
      <c r="B26" s="5">
        <v>46452</v>
      </c>
      <c r="C26" s="7" t="s">
        <v>58</v>
      </c>
      <c r="D26" s="5">
        <v>46452</v>
      </c>
      <c r="E26" s="4" t="s">
        <v>13</v>
      </c>
      <c r="F26" s="4">
        <v>2</v>
      </c>
      <c r="G26" s="6">
        <v>49.5</v>
      </c>
      <c r="H26">
        <f>F26*G26</f>
        <v>99</v>
      </c>
      <c r="I26" s="4">
        <v>2</v>
      </c>
      <c r="J26" s="7" t="s">
        <v>44</v>
      </c>
      <c r="K26" s="4" t="s">
        <v>42</v>
      </c>
    </row>
    <row r="27" spans="1:11">
      <c r="A27" s="4" t="s">
        <v>61</v>
      </c>
      <c r="B27" s="5">
        <v>46443</v>
      </c>
      <c r="C27" s="7" t="s">
        <v>62</v>
      </c>
      <c r="D27" s="5">
        <v>46466</v>
      </c>
      <c r="E27" s="4" t="s">
        <v>47</v>
      </c>
      <c r="F27" s="4">
        <v>4</v>
      </c>
      <c r="G27" s="6">
        <v>30</v>
      </c>
      <c r="H27">
        <f>F27*G27</f>
        <v>120</v>
      </c>
      <c r="I27" s="4">
        <v>4</v>
      </c>
      <c r="J27" s="7" t="s">
        <v>41</v>
      </c>
      <c r="K27" s="4" t="s">
        <v>42</v>
      </c>
    </row>
    <row r="28" spans="1:11">
      <c r="A28" s="4" t="s">
        <v>63</v>
      </c>
      <c r="B28" s="5">
        <v>46456</v>
      </c>
      <c r="C28" s="7" t="s">
        <v>62</v>
      </c>
      <c r="D28" s="5">
        <v>46466</v>
      </c>
      <c r="E28" s="4" t="s">
        <v>47</v>
      </c>
      <c r="F28" s="4">
        <v>2</v>
      </c>
      <c r="G28" s="6">
        <v>40</v>
      </c>
      <c r="H28">
        <f>F28*G28</f>
        <v>80</v>
      </c>
      <c r="I28" s="4">
        <v>2</v>
      </c>
      <c r="J28" s="7" t="s">
        <v>41</v>
      </c>
      <c r="K28" s="4" t="s">
        <v>42</v>
      </c>
    </row>
    <row r="29" spans="1:11">
      <c r="A29" s="4" t="s">
        <v>64</v>
      </c>
      <c r="B29" s="5">
        <v>46466</v>
      </c>
      <c r="C29" s="7" t="s">
        <v>62</v>
      </c>
      <c r="D29" s="5">
        <v>46466</v>
      </c>
      <c r="E29" s="4" t="s">
        <v>47</v>
      </c>
      <c r="F29" s="4">
        <v>2</v>
      </c>
      <c r="G29" s="6">
        <v>45</v>
      </c>
      <c r="H29">
        <f>F29*G29</f>
        <v>90</v>
      </c>
      <c r="I29" s="4">
        <v>1</v>
      </c>
      <c r="J29" s="7" t="s">
        <v>44</v>
      </c>
      <c r="K29" s="4" t="s">
        <v>42</v>
      </c>
    </row>
    <row r="30" spans="1:11">
      <c r="A30" s="4" t="s">
        <v>65</v>
      </c>
      <c r="B30" s="5">
        <v>46461</v>
      </c>
      <c r="C30" s="7" t="s">
        <v>66</v>
      </c>
      <c r="D30" s="8">
        <v>46494</v>
      </c>
      <c r="E30" s="7" t="s">
        <v>67</v>
      </c>
      <c r="F30" s="4">
        <v>2</v>
      </c>
      <c r="G30" s="6">
        <v>40</v>
      </c>
      <c r="H30">
        <f>F30*G30</f>
        <v>80</v>
      </c>
      <c r="I30" s="4">
        <v>2</v>
      </c>
      <c r="J30" s="7" t="s">
        <v>41</v>
      </c>
      <c r="K30" s="4" t="s">
        <v>42</v>
      </c>
    </row>
    <row r="31" spans="1:11">
      <c r="A31" s="4" t="s">
        <v>68</v>
      </c>
      <c r="B31" s="5">
        <v>46478</v>
      </c>
      <c r="C31" s="7" t="s">
        <v>66</v>
      </c>
      <c r="D31" s="8">
        <v>46494</v>
      </c>
      <c r="E31" s="7" t="s">
        <v>67</v>
      </c>
      <c r="F31" s="4">
        <v>4</v>
      </c>
      <c r="G31" s="6">
        <v>45</v>
      </c>
      <c r="H31">
        <f>F31*G31</f>
        <v>180</v>
      </c>
      <c r="I31" s="4">
        <v>4</v>
      </c>
      <c r="J31" s="7" t="s">
        <v>41</v>
      </c>
      <c r="K31" s="4" t="s">
        <v>42</v>
      </c>
    </row>
    <row r="32" spans="1:11">
      <c r="A32" s="4" t="s">
        <v>69</v>
      </c>
      <c r="B32" s="5">
        <v>46494</v>
      </c>
      <c r="C32" s="7" t="s">
        <v>66</v>
      </c>
      <c r="D32" s="8">
        <v>46494</v>
      </c>
      <c r="E32" s="7" t="s">
        <v>67</v>
      </c>
      <c r="F32" s="4">
        <v>2</v>
      </c>
      <c r="G32" s="6">
        <v>50</v>
      </c>
      <c r="H32">
        <f>F32*G32</f>
        <v>100</v>
      </c>
      <c r="I32" s="4">
        <v>2</v>
      </c>
      <c r="J32" s="7" t="s">
        <v>44</v>
      </c>
      <c r="K32" s="4" t="s">
        <v>42</v>
      </c>
    </row>
    <row r="33" spans="1:11">
      <c r="A33" s="4" t="s">
        <v>70</v>
      </c>
      <c r="B33" s="5">
        <v>46492</v>
      </c>
      <c r="C33" s="7" t="s">
        <v>71</v>
      </c>
      <c r="D33" s="5">
        <v>46516</v>
      </c>
      <c r="E33" s="4" t="s">
        <v>24</v>
      </c>
      <c r="F33" s="4">
        <v>4</v>
      </c>
      <c r="G33" s="6">
        <v>10</v>
      </c>
      <c r="H33">
        <f>F33*G33</f>
        <v>40</v>
      </c>
      <c r="I33" s="4">
        <v>4</v>
      </c>
      <c r="J33" s="7" t="s">
        <v>41</v>
      </c>
      <c r="K33" s="4" t="s">
        <v>42</v>
      </c>
    </row>
    <row r="34" spans="1:11">
      <c r="A34" s="4" t="s">
        <v>72</v>
      </c>
      <c r="B34" s="5">
        <v>46516</v>
      </c>
      <c r="C34" s="7" t="s">
        <v>71</v>
      </c>
      <c r="D34" s="5">
        <v>46516</v>
      </c>
      <c r="E34" s="4" t="s">
        <v>24</v>
      </c>
      <c r="F34" s="4">
        <v>2</v>
      </c>
      <c r="G34" s="6">
        <v>13</v>
      </c>
      <c r="H34">
        <f>F34*G34</f>
        <v>26</v>
      </c>
      <c r="I34" s="4">
        <v>2</v>
      </c>
      <c r="J34" s="7" t="s">
        <v>44</v>
      </c>
      <c r="K34" s="4" t="s">
        <v>42</v>
      </c>
    </row>
    <row r="35" spans="1:11">
      <c r="A35" s="4" t="s">
        <v>73</v>
      </c>
      <c r="B35" s="5">
        <v>46502</v>
      </c>
      <c r="C35" s="7" t="s">
        <v>71</v>
      </c>
      <c r="D35" s="5">
        <v>46523</v>
      </c>
      <c r="E35" s="4" t="s">
        <v>24</v>
      </c>
      <c r="F35" s="4">
        <v>3</v>
      </c>
      <c r="G35" s="6">
        <v>10</v>
      </c>
      <c r="H35">
        <f>F35*G35</f>
        <v>30</v>
      </c>
      <c r="I35" s="4">
        <v>3</v>
      </c>
      <c r="J35" s="7" t="s">
        <v>41</v>
      </c>
      <c r="K35" s="4" t="s">
        <v>42</v>
      </c>
    </row>
    <row r="36" spans="1:11">
      <c r="A36" s="4" t="s">
        <v>74</v>
      </c>
      <c r="B36" s="5">
        <v>46523</v>
      </c>
      <c r="C36" s="7" t="s">
        <v>71</v>
      </c>
      <c r="D36" s="5">
        <v>46523</v>
      </c>
      <c r="E36" s="4" t="s">
        <v>24</v>
      </c>
      <c r="F36" s="4">
        <v>2</v>
      </c>
      <c r="G36" s="6">
        <v>13</v>
      </c>
      <c r="H36">
        <f>F36*G36</f>
        <v>26</v>
      </c>
      <c r="I36" s="4">
        <v>2</v>
      </c>
      <c r="J36" s="7" t="s">
        <v>44</v>
      </c>
      <c r="K36" s="4" t="s">
        <v>42</v>
      </c>
    </row>
    <row r="37" spans="1:11">
      <c r="A37" s="4" t="s">
        <v>75</v>
      </c>
      <c r="B37" s="5">
        <v>46497</v>
      </c>
      <c r="C37" s="7" t="s">
        <v>76</v>
      </c>
      <c r="D37" s="5">
        <v>46529</v>
      </c>
      <c r="E37" s="4" t="s">
        <v>13</v>
      </c>
      <c r="F37" s="4">
        <v>2</v>
      </c>
      <c r="G37" s="6">
        <v>35</v>
      </c>
      <c r="H37">
        <f>F37*G37</f>
        <v>70</v>
      </c>
      <c r="I37" s="4">
        <v>2</v>
      </c>
      <c r="J37" s="7" t="s">
        <v>41</v>
      </c>
      <c r="K37" s="4" t="s">
        <v>42</v>
      </c>
    </row>
    <row r="38" spans="1:11">
      <c r="A38" s="4" t="s">
        <v>77</v>
      </c>
      <c r="B38" s="5">
        <v>46512</v>
      </c>
      <c r="C38" s="7" t="s">
        <v>76</v>
      </c>
      <c r="D38" s="5">
        <v>46529</v>
      </c>
      <c r="E38" s="4" t="s">
        <v>13</v>
      </c>
      <c r="F38" s="4">
        <v>4</v>
      </c>
      <c r="G38" s="6">
        <v>40</v>
      </c>
      <c r="H38">
        <f>F38*G38</f>
        <v>160</v>
      </c>
      <c r="I38" s="4">
        <v>4</v>
      </c>
      <c r="J38" s="7" t="s">
        <v>41</v>
      </c>
      <c r="K38" s="4" t="s">
        <v>42</v>
      </c>
    </row>
    <row r="39" spans="1:11">
      <c r="A39" s="4" t="s">
        <v>78</v>
      </c>
      <c r="B39" s="5">
        <v>46529</v>
      </c>
      <c r="C39" s="7" t="s">
        <v>76</v>
      </c>
      <c r="D39" s="5">
        <v>46529</v>
      </c>
      <c r="E39" s="4" t="s">
        <v>13</v>
      </c>
      <c r="F39" s="4">
        <v>2</v>
      </c>
      <c r="G39" s="6">
        <v>49.5</v>
      </c>
      <c r="H39">
        <f>F39*G39</f>
        <v>99</v>
      </c>
      <c r="I39" s="4">
        <v>2</v>
      </c>
      <c r="J39" s="7" t="s">
        <v>44</v>
      </c>
      <c r="K39" s="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648A-1D46-4896-8923-AD419EB7AE18}">
  <dimension ref="A1:G15"/>
  <sheetViews>
    <sheetView workbookViewId="0">
      <selection activeCell="A11" sqref="A11"/>
    </sheetView>
  </sheetViews>
  <sheetFormatPr defaultRowHeight="15"/>
  <cols>
    <col min="2" max="2" width="11.42578125" bestFit="1" customWidth="1"/>
  </cols>
  <sheetData>
    <row r="1" spans="1:7">
      <c r="A1" t="s">
        <v>2</v>
      </c>
      <c r="B1" t="s">
        <v>79</v>
      </c>
      <c r="C1" t="s">
        <v>80</v>
      </c>
      <c r="D1" t="s">
        <v>8</v>
      </c>
      <c r="E1" t="s">
        <v>81</v>
      </c>
      <c r="F1" t="s">
        <v>82</v>
      </c>
      <c r="G1" t="s">
        <v>83</v>
      </c>
    </row>
    <row r="2" spans="1:7">
      <c r="A2" t="s">
        <v>12</v>
      </c>
      <c r="B2" s="1">
        <v>46305</v>
      </c>
      <c r="C2">
        <f>SUMIF('Ticket data'!C:C,A2,'Ticket data'!F:F)</f>
        <v>8</v>
      </c>
      <c r="D2">
        <f>SUMIF('Ticket data'!C:C,A2,'Ticket data'!I:I)</f>
        <v>8</v>
      </c>
      <c r="E2">
        <f>SUMIF('Ticket data'!C:C,A2,'Ticket data'!H:H)</f>
        <v>269</v>
      </c>
      <c r="F2" s="3">
        <f>IFERROR(D2/C2,0)</f>
        <v>1</v>
      </c>
      <c r="G2">
        <f>IFERROR(E2/C2,0)</f>
        <v>33.625</v>
      </c>
    </row>
    <row r="3" spans="1:7">
      <c r="A3" t="s">
        <v>84</v>
      </c>
      <c r="B3" s="1">
        <v>46334</v>
      </c>
      <c r="C3">
        <f>SUMIF('Ticket data'!C:C,A3,'Ticket data'!F:F)</f>
        <v>5</v>
      </c>
      <c r="D3">
        <f>SUMIF('Ticket data'!C:C,A3,'Ticket data'!I:I)</f>
        <v>5</v>
      </c>
      <c r="E3">
        <f>SUMIF('Ticket data'!C:C,A3,'Ticket data'!H:H)</f>
        <v>56</v>
      </c>
      <c r="F3" s="3">
        <f>IFERROR(D3/C3,0)</f>
        <v>1</v>
      </c>
      <c r="G3">
        <f>IFERROR(E3/C3,0)</f>
        <v>11.2</v>
      </c>
    </row>
    <row r="4" spans="1:7">
      <c r="A4" t="s">
        <v>28</v>
      </c>
      <c r="B4" s="1">
        <v>46369</v>
      </c>
      <c r="C4">
        <f>SUMIF('Ticket data'!C:C,A4,'Ticket data'!F:F)</f>
        <v>4</v>
      </c>
      <c r="D4">
        <f>SUMIF('Ticket data'!C:C,A4,'Ticket data'!I:I)</f>
        <v>4</v>
      </c>
      <c r="E4">
        <f>SUMIF('Ticket data'!C:C,A4,'Ticket data'!H:H)</f>
        <v>40</v>
      </c>
      <c r="F4" s="3">
        <f>IFERROR(D4/C4,0)</f>
        <v>1</v>
      </c>
      <c r="G4">
        <f>IFERROR(E4/C4,0)</f>
        <v>10</v>
      </c>
    </row>
    <row r="5" spans="1:7">
      <c r="A5" t="s">
        <v>32</v>
      </c>
      <c r="B5" s="1">
        <v>46361</v>
      </c>
      <c r="C5">
        <f>SUMIF('Ticket data'!C:C,A5,'Ticket data'!F:F)</f>
        <v>2</v>
      </c>
      <c r="D5">
        <f>SUMIF('Ticket data'!C:C,A5,'Ticket data'!I:I)</f>
        <v>2</v>
      </c>
      <c r="E5">
        <f>SUMIF('Ticket data'!C:C,A5,'Ticket data'!H:H)</f>
        <v>30</v>
      </c>
      <c r="F5" s="3">
        <f t="shared" ref="F5:F15" si="0">IFERROR(D5/C5,0)</f>
        <v>1</v>
      </c>
      <c r="G5">
        <f t="shared" ref="G5:G15" si="1">IFERROR(E5/C5,0)</f>
        <v>15</v>
      </c>
    </row>
    <row r="6" spans="1:7">
      <c r="A6" t="s">
        <v>34</v>
      </c>
      <c r="B6" s="1">
        <v>46361</v>
      </c>
      <c r="C6">
        <f>SUMIF('Ticket data'!C:C,A6,'Ticket data'!F:F)</f>
        <v>11</v>
      </c>
      <c r="D6">
        <f>SUMIF('Ticket data'!C:C,A6,'Ticket data'!I:I)</f>
        <v>11</v>
      </c>
      <c r="E6">
        <f>SUMIF('Ticket data'!C:C,A6,'Ticket data'!H:H)</f>
        <v>431</v>
      </c>
      <c r="F6" s="3">
        <f t="shared" si="0"/>
        <v>1</v>
      </c>
      <c r="G6">
        <f t="shared" si="1"/>
        <v>39.18181818181818</v>
      </c>
    </row>
    <row r="7" spans="1:7">
      <c r="A7" t="s">
        <v>34</v>
      </c>
      <c r="B7" s="1">
        <v>46362</v>
      </c>
      <c r="C7">
        <f>SUMIF('Ticket data'!C:C,A7,'Ticket data'!F:F)</f>
        <v>11</v>
      </c>
      <c r="D7">
        <f>SUMIF('Ticket data'!C:C,A7,'Ticket data'!I:I)</f>
        <v>11</v>
      </c>
      <c r="E7">
        <f>SUMIF('Ticket data'!C:C,A7,'Ticket data'!H:H)</f>
        <v>431</v>
      </c>
      <c r="F7" s="3">
        <f t="shared" si="0"/>
        <v>1</v>
      </c>
      <c r="G7">
        <f t="shared" si="1"/>
        <v>39.18181818181818</v>
      </c>
    </row>
    <row r="8" spans="1:7">
      <c r="A8" t="s">
        <v>46</v>
      </c>
      <c r="B8" s="1">
        <v>46409</v>
      </c>
      <c r="C8">
        <f>SUMIF('Ticket data'!C:C,A8,'Ticket data'!F:F)</f>
        <v>8</v>
      </c>
      <c r="D8">
        <f>SUMIF('Ticket data'!C:C,A8,'Ticket data'!I:I)</f>
        <v>8</v>
      </c>
      <c r="E8">
        <f>SUMIF('Ticket data'!C:C,A8,'Ticket data'!H:H)</f>
        <v>329</v>
      </c>
      <c r="F8" s="3">
        <f t="shared" si="0"/>
        <v>1</v>
      </c>
      <c r="G8">
        <f t="shared" si="1"/>
        <v>41.125</v>
      </c>
    </row>
    <row r="9" spans="1:7">
      <c r="A9" t="s">
        <v>51</v>
      </c>
      <c r="B9" s="1">
        <v>46424</v>
      </c>
      <c r="C9">
        <f>SUMIF('Ticket data'!C:C,A9,'Ticket data'!F:F)</f>
        <v>9</v>
      </c>
      <c r="D9">
        <f>SUMIF('Ticket data'!C:C,A9,'Ticket data'!I:I)</f>
        <v>8</v>
      </c>
      <c r="E9">
        <f>SUMIF('Ticket data'!C:C,A9,'Ticket data'!H:H)</f>
        <v>364</v>
      </c>
      <c r="F9" s="3">
        <f t="shared" si="0"/>
        <v>0.88888888888888884</v>
      </c>
      <c r="G9">
        <f t="shared" si="1"/>
        <v>40.444444444444443</v>
      </c>
    </row>
    <row r="10" spans="1:7">
      <c r="A10" t="s">
        <v>55</v>
      </c>
      <c r="B10" s="1">
        <v>46425</v>
      </c>
      <c r="C10">
        <f>SUMIF('Ticket data'!C:C,A10,'Ticket data'!F:F)</f>
        <v>7</v>
      </c>
      <c r="D10">
        <f>SUMIF('Ticket data'!C:C,A10,'Ticket data'!I:I)</f>
        <v>7</v>
      </c>
      <c r="E10">
        <f>SUMIF('Ticket data'!C:C,A10,'Ticket data'!H:H)</f>
        <v>79</v>
      </c>
      <c r="F10" s="3">
        <f t="shared" si="0"/>
        <v>1</v>
      </c>
      <c r="G10">
        <f t="shared" si="1"/>
        <v>11.285714285714286</v>
      </c>
    </row>
    <row r="11" spans="1:7">
      <c r="A11" t="s">
        <v>85</v>
      </c>
      <c r="B11" s="1">
        <v>46452</v>
      </c>
      <c r="C11">
        <f>SUMIF('Ticket data'!C:C,A11,'Ticket data'!F:F)</f>
        <v>8</v>
      </c>
      <c r="D11">
        <f>SUMIF('Ticket data'!C:C,A11,'Ticket data'!I:I)</f>
        <v>8</v>
      </c>
      <c r="E11">
        <f>SUMIF('Ticket data'!C:C,A11,'Ticket data'!H:H)</f>
        <v>329</v>
      </c>
      <c r="F11" s="3">
        <f t="shared" si="0"/>
        <v>1</v>
      </c>
      <c r="G11">
        <f t="shared" si="1"/>
        <v>41.125</v>
      </c>
    </row>
    <row r="12" spans="1:7">
      <c r="A12" t="s">
        <v>86</v>
      </c>
      <c r="B12" s="1">
        <v>46466</v>
      </c>
      <c r="C12">
        <f>SUMIF('Ticket data'!C:C,A12,'Ticket data'!F:F)</f>
        <v>8</v>
      </c>
      <c r="D12">
        <f>SUMIF('Ticket data'!C:C,A12,'Ticket data'!I:I)</f>
        <v>7</v>
      </c>
      <c r="E12">
        <f>SUMIF('Ticket data'!C:C,A12,'Ticket data'!H:H)</f>
        <v>290</v>
      </c>
      <c r="F12" s="3">
        <f t="shared" si="0"/>
        <v>0.875</v>
      </c>
      <c r="G12">
        <f t="shared" si="1"/>
        <v>36.25</v>
      </c>
    </row>
    <row r="13" spans="1:7">
      <c r="A13" t="s">
        <v>66</v>
      </c>
      <c r="B13" s="1">
        <v>46494</v>
      </c>
      <c r="C13">
        <f>SUMIF('Ticket data'!C:C,A13,'Ticket data'!F:F)</f>
        <v>8</v>
      </c>
      <c r="D13">
        <f>SUMIF('Ticket data'!C:C,A13,'Ticket data'!I:I)</f>
        <v>8</v>
      </c>
      <c r="E13">
        <f>SUMIF('Ticket data'!C:C,A13,'Ticket data'!H:H)</f>
        <v>360</v>
      </c>
      <c r="F13" s="3">
        <f t="shared" si="0"/>
        <v>1</v>
      </c>
      <c r="G13">
        <f t="shared" si="1"/>
        <v>45</v>
      </c>
    </row>
    <row r="14" spans="1:7">
      <c r="A14" t="s">
        <v>87</v>
      </c>
      <c r="B14" s="1">
        <v>46523</v>
      </c>
      <c r="C14">
        <f>SUMIF('Ticket data'!C:C,A14,'Ticket data'!F:F)</f>
        <v>11</v>
      </c>
      <c r="D14">
        <f>SUMIF('Ticket data'!C:C,A14,'Ticket data'!I:I)</f>
        <v>11</v>
      </c>
      <c r="E14">
        <f>SUMIF('Ticket data'!C:C,A14,'Ticket data'!H:H)</f>
        <v>122</v>
      </c>
      <c r="F14" s="3">
        <f t="shared" si="0"/>
        <v>1</v>
      </c>
      <c r="G14">
        <f t="shared" si="1"/>
        <v>11.090909090909092</v>
      </c>
    </row>
    <row r="15" spans="1:7">
      <c r="A15" t="s">
        <v>87</v>
      </c>
      <c r="B15" s="1">
        <v>46523</v>
      </c>
      <c r="C15">
        <f>SUMIF('Ticket data'!C:C,A15,'Ticket data'!F:F)</f>
        <v>11</v>
      </c>
      <c r="D15">
        <f>SUMIF('Ticket data'!C:C,A15,'Ticket data'!I:I)</f>
        <v>11</v>
      </c>
      <c r="E15">
        <f>SUMIF('Ticket data'!C:C,A15,'Ticket data'!H:H)</f>
        <v>122</v>
      </c>
      <c r="F15" s="3">
        <f t="shared" si="0"/>
        <v>1</v>
      </c>
      <c r="G15">
        <f t="shared" si="1"/>
        <v>11.090909090909092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68F2-3753-4421-8A43-FC06228BC419}">
  <dimension ref="A1:B11"/>
  <sheetViews>
    <sheetView workbookViewId="0">
      <selection activeCell="B12" sqref="B12"/>
    </sheetView>
  </sheetViews>
  <sheetFormatPr defaultRowHeight="15"/>
  <cols>
    <col min="1" max="1" width="25.5703125" customWidth="1"/>
  </cols>
  <sheetData>
    <row r="1" spans="1:2">
      <c r="A1" t="s">
        <v>88</v>
      </c>
    </row>
    <row r="3" spans="1:2">
      <c r="A3" t="s">
        <v>89</v>
      </c>
      <c r="B3" t="s">
        <v>90</v>
      </c>
    </row>
    <row r="4" spans="1:2">
      <c r="A4" t="s">
        <v>91</v>
      </c>
      <c r="B4">
        <f>COUNTA('Ticket data'!A:A)-1</f>
        <v>38</v>
      </c>
    </row>
    <row r="5" spans="1:2">
      <c r="A5" t="s">
        <v>92</v>
      </c>
      <c r="B5">
        <f>COUNTIF('Ticket data'!K:K,"Invalid")</f>
        <v>0</v>
      </c>
    </row>
    <row r="6" spans="1:2">
      <c r="A6" t="s">
        <v>93</v>
      </c>
      <c r="B6">
        <f>COUNTA('Ticket data'!A:A)-1-COUNTA(_xlfn.UNIQUE('Ticket data'!A2:A39))</f>
        <v>0</v>
      </c>
    </row>
    <row r="7" spans="1:2">
      <c r="A7" t="s">
        <v>94</v>
      </c>
      <c r="B7">
        <f>COUNTIFS('Ticket data'!A:A,"&lt;&gt;",'Ticket data'!C:C,"")</f>
        <v>0</v>
      </c>
    </row>
    <row r="8" spans="1:2">
      <c r="A8" t="s">
        <v>95</v>
      </c>
      <c r="B8">
        <f>COUNTIFS('Ticket data'!A:A,"&lt;&gt;",'Ticket data'!D:D,"")</f>
        <v>0</v>
      </c>
    </row>
    <row r="9" spans="1:2">
      <c r="A9" t="s">
        <v>96</v>
      </c>
      <c r="B9">
        <f>COUNTIFS('Ticket data'!A:A,"&lt;&gt;",'Ticket data'!G:G,"")</f>
        <v>0</v>
      </c>
    </row>
    <row r="10" spans="1:2">
      <c r="A10" t="s">
        <v>97</v>
      </c>
      <c r="B10">
        <f>COUNTIFS('Ticket data'!A:A,"&lt;&gt;",'Ticket data'!F:F,"&lt;=0")</f>
        <v>0</v>
      </c>
    </row>
    <row r="11" spans="1:2">
      <c r="A11" t="s">
        <v>98</v>
      </c>
      <c r="B11" cm="1">
        <f t="array" ref="B11">SUMPRODUCT(--('Ticket data'!A2:A39&lt;&gt;""),--('Ticket data'!I2:I39&gt;'Ticket data'!F2:F39))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385E-0529-489C-B46D-0DC6F84AED98}">
  <dimension ref="A1:B6"/>
  <sheetViews>
    <sheetView tabSelected="1" workbookViewId="0">
      <selection activeCell="A7" sqref="A7"/>
    </sheetView>
  </sheetViews>
  <sheetFormatPr defaultRowHeight="15"/>
  <cols>
    <col min="1" max="1" width="18.7109375" customWidth="1"/>
    <col min="2" max="2" width="9.85546875" bestFit="1" customWidth="1"/>
  </cols>
  <sheetData>
    <row r="1" spans="1:2">
      <c r="A1" t="s">
        <v>99</v>
      </c>
    </row>
    <row r="3" spans="1:2">
      <c r="A3" t="s">
        <v>100</v>
      </c>
      <c r="B3">
        <f>SUM('Ticket data'!F:F)</f>
        <v>106</v>
      </c>
    </row>
    <row r="4" spans="1:2">
      <c r="A4" t="s">
        <v>101</v>
      </c>
      <c r="B4">
        <f>SUM('Ticket data'!I:I)</f>
        <v>104</v>
      </c>
    </row>
    <row r="5" spans="1:2">
      <c r="A5" t="s">
        <v>102</v>
      </c>
      <c r="B5" s="10">
        <f>SUM('Ticket data'!H:H)</f>
        <v>3139</v>
      </c>
    </row>
    <row r="6" spans="1:2">
      <c r="A6" t="s">
        <v>82</v>
      </c>
      <c r="B6" s="3">
        <f>IFERROR(B4/B3,0)</f>
        <v>0.98113207547169812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2026-09-27T21:14:40Z</dcterms:created>
  <dcterms:modified xsi:type="dcterms:W3CDTF">2026-09-27T23:35:04Z</dcterms:modified>
  <cp:category/>
  <cp:contentStatus/>
</cp:coreProperties>
</file>